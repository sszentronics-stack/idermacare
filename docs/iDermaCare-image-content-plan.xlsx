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ntent plan" sheetId="2" state="visible" r:id="rId2"/>
    <sheet xmlns:r="http://schemas.openxmlformats.org/officeDocument/2006/relationships" name="Resolution guide" sheetId="3" state="visible" r:id="rId3"/>
    <sheet xmlns:r="http://schemas.openxmlformats.org/officeDocument/2006/relationships" name="Summary" sheetId="4" state="visible" r:id="rId4"/>
  </sheets>
  <definedNames>
    <definedName name="_xlnm._FilterDatabase" localSheetId="1" hidden="1">'Content plan'!$A$1:$U$23</definedName>
  </definedNames>
  <calcPr calcId="124519" fullCalcOnLoad="1"/>
</workbook>
</file>

<file path=xl/styles.xml><?xml version="1.0" encoding="utf-8"?>
<styleSheet xmlns="http://schemas.openxmlformats.org/spreadsheetml/2006/main">
  <numFmts count="1">
    <numFmt numFmtId="164" formatCode="dd mmm yyyy"/>
  </numFmts>
  <fonts count="10">
    <font>
      <name val="Calibri"/>
      <family val="2"/>
      <color theme="1"/>
      <sz val="11"/>
      <scheme val="minor"/>
    </font>
    <font>
      <name val="Arial"/>
      <b val="1"/>
      <color rgb="001F6B45"/>
      <sz val="16"/>
    </font>
    <font>
      <name val="Arial"/>
      <color rgb="00555555"/>
      <sz val="10"/>
    </font>
    <font>
      <name val="Arial"/>
      <b val="1"/>
      <sz val="10"/>
    </font>
    <font>
      <name val="Arial"/>
      <sz val="10"/>
    </font>
    <font>
      <name val="Arial"/>
      <b val="1"/>
      <color rgb="001F6B45"/>
      <sz val="10"/>
    </font>
    <font>
      <name val="Arial"/>
      <color rgb="000000FF"/>
      <sz val="10"/>
    </font>
    <font>
      <name val="Arial"/>
      <b val="1"/>
      <color rgb="00FFFFFF"/>
      <sz val="10"/>
    </font>
    <font>
      <name val="Arial"/>
      <color rgb="00000000"/>
      <sz val="10"/>
    </font>
    <font>
      <name val="Arial"/>
      <b val="1"/>
      <color rgb="001F6B45"/>
      <sz val="14"/>
    </font>
  </fonts>
  <fills count="4">
    <fill>
      <patternFill/>
    </fill>
    <fill>
      <patternFill patternType="gray125"/>
    </fill>
    <fill>
      <patternFill patternType="solid">
        <fgColor rgb="001F6B45"/>
      </patternFill>
    </fill>
    <fill>
      <patternFill patternType="solid">
        <fgColor rgb="00FFFBE6"/>
      </patternFill>
    </fill>
  </fills>
  <borders count="2">
    <border>
      <left/>
      <right/>
      <top/>
      <bottom/>
      <diagonal/>
    </border>
    <border>
      <left style="thin">
        <color rgb="00C9D6CE"/>
      </left>
      <right style="thin">
        <color rgb="00C9D6CE"/>
      </right>
      <top style="thin">
        <color rgb="00C9D6CE"/>
      </top>
      <bottom style="thin">
        <color rgb="00C9D6CE"/>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6" fillId="3" borderId="1" applyAlignment="1" pivotButton="0" quotePrefix="0" xfId="0">
      <alignment horizontal="left" vertical="top" wrapText="1"/>
    </xf>
    <xf numFmtId="0" fontId="6" fillId="3" borderId="1" applyAlignment="1" pivotButton="0" quotePrefix="0" xfId="0">
      <alignment horizontal="center" vertical="top" wrapText="1"/>
    </xf>
    <xf numFmtId="164" fontId="6" fillId="3" borderId="1" applyAlignment="1" pivotButton="0" quotePrefix="0" xfId="0">
      <alignment horizontal="center" vertical="top" wrapText="1"/>
    </xf>
    <xf numFmtId="0" fontId="9" fillId="0" borderId="0" pivotButton="0" quotePrefix="0" xfId="0"/>
    <xf numFmtId="0" fontId="7" fillId="2"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0" pivotButton="0" quotePrefix="0" xfId="0"/>
    <xf numFmtId="0" fontId="3" fillId="0" borderId="0" applyAlignment="1" pivotButton="0" quotePrefix="0" xfId="0">
      <alignment horizontal="center"/>
    </xf>
    <xf numFmtId="0" fontId="4" fillId="0" borderId="0" pivotButton="0" quotePrefix="0" xfId="0"/>
  </cellXfs>
  <cellStyles count="1">
    <cellStyle name="Normal" xfId="0" builtinId="0" hidden="0"/>
  </cellStyles>
  <dxfs count="4">
    <dxf>
      <font>
        <name val="Arial"/>
        <b val="1"/>
        <color rgb="001F6B45"/>
      </font>
      <fill>
        <patternFill patternType="solid">
          <bgColor rgb="00D5EFDD"/>
        </patternFill>
      </fill>
    </dxf>
    <dxf>
      <font>
        <name val="Arial"/>
        <b val="1"/>
        <color rgb="00B3361A"/>
      </font>
      <fill>
        <patternFill patternType="solid">
          <bgColor rgb="00FBE0D6"/>
        </patternFill>
      </fill>
    </dxf>
    <dxf>
      <font>
        <name val="Arial"/>
        <b val="1"/>
        <color rgb="008A6500"/>
      </font>
      <fill>
        <patternFill patternType="solid">
          <bgColor rgb="00FFF0BF"/>
        </patternFill>
      </fill>
    </dxf>
    <dxf>
      <fill>
        <patternFill patternType="solid">
          <bgColor rgb="00D5EF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0"/>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2">
      <c r="B2" s="1" t="inlineStr">
        <is>
          <t>iDermaCare - website images and banners plan</t>
        </is>
      </c>
    </row>
    <row r="3">
      <c r="B3" s="2" t="inlineStr">
        <is>
          <t>One row per picture slot on the site: what it is, where it shows, the size to prepare, and what you have today.</t>
        </is>
      </c>
    </row>
    <row r="5" ht="51" customHeight="1">
      <c r="B5" s="3" t="inlineStr">
        <is>
          <t>What this sheet is for</t>
        </is>
      </c>
      <c r="C5" s="4" t="inlineStr">
        <is>
          <t>Hand this to whoever shoots or designs the pictures. Every slot in the "Content plan" tab lists the exact pixel size, shape and file type, so images can be uploaded without cropping or blur.</t>
        </is>
      </c>
    </row>
    <row r="6" ht="36" customHeight="1">
      <c r="B6" s="3" t="inlineStr">
        <is>
          <t>Tabs</t>
        </is>
      </c>
      <c r="C6" s="4" t="inlineStr">
        <is>
          <t>Content plan = every slot, with specs and a status.   Resolution guide = the size rules in one table.   Summary = counts by status and by screen.</t>
        </is>
      </c>
    </row>
    <row r="7" ht="51" customHeight="1">
      <c r="B7" s="3" t="inlineStr">
        <is>
          <t>Cells you edit</t>
        </is>
      </c>
      <c r="C7" s="4" t="inlineStr">
        <is>
          <t>Blue text on the yellow-tinted columns in "Content plan": Current file, Current width, Current height, Status, Owner, Due date, Notes. Everything else (ratio, "Meets minimum?", summary numbers) calculates by itself.</t>
        </is>
      </c>
    </row>
    <row r="8" ht="51" customHeight="1">
      <c r="B8" s="3" t="inlineStr">
        <is>
          <t>How "Meets minimum?" works</t>
        </is>
      </c>
      <c r="C8" s="4" t="inlineStr">
        <is>
          <t>Type the width and height of the picture you currently have. The sheet compares it with the minimum size for that slot and shows OK, Too small, or Missing. Check the size in Windows: right-click the file &gt; Properties &gt; Details.</t>
        </is>
      </c>
    </row>
    <row r="9" ht="51" customHeight="1">
      <c r="B9" s="3" t="inlineStr">
        <is>
          <t>Where to upload</t>
        </is>
      </c>
      <c r="C9" s="4" t="inlineStr">
        <is>
          <t>Sign in at idermacare.com/admin &gt; Website content. Each section there has a Replace button. Pictures must be 5 MB or smaller, videos 40 MB or smaller. JPG, PNG, WebP or GIF for pictures; MP4 or WebM for video.</t>
        </is>
      </c>
    </row>
    <row r="10" ht="36" customHeight="1">
      <c r="B10" s="3" t="inlineStr">
        <is>
          <t>Product photos</t>
        </is>
      </c>
      <c r="C10" s="4" t="inlineStr">
        <is>
          <t>Product galleries are set when the product is created or edited (Admin &gt; Products). Ask for the new photos to be named product-1.jpg, product-2.jpg and so on, in display order.</t>
        </is>
      </c>
    </row>
    <row r="11" ht="51" customHeight="1">
      <c r="B11" s="3" t="inlineStr">
        <is>
          <t>Rule of thumb</t>
        </is>
      </c>
      <c r="C11" s="4" t="inlineStr">
        <is>
          <t>Prepare each image at the "Recommended" size (it stays sharp on phones with high-resolution screens). Never go below the "Minimum" size. Keep the main subject in the centre: banners are cropped differently on phone and desktop.</t>
        </is>
      </c>
    </row>
    <row r="12" ht="96" customHeight="1">
      <c r="B12" s="3" t="inlineStr">
        <is>
          <t>Sources of the numbers</t>
        </is>
      </c>
      <c r="C12" s="4" t="inlineStr">
        <is>
          <t>Display shapes and heights come from the site code (src/ssz.css and src/pages/Home.jsx): banner height 416 / 546 / 624 px at phone / tablet / desktop widths, 1:1 product and category tiles, 9:16 story and short-video frames, 16:9 product video. Recommended sizes are about 2x the largest on-screen size so they stay sharp on high-resolution screens. File limits come from the site editor (5 MB image, 40 MB video). Current sizes were measured from the files in the project on 22 Oct 2026.</t>
        </is>
      </c>
    </row>
    <row r="14">
      <c r="B14" s="5" t="inlineStr">
        <is>
          <t>Example row (how a filled-in slot looks)</t>
        </is>
      </c>
    </row>
    <row r="15">
      <c r="B15" s="2" t="inlineStr">
        <is>
          <t>Screen</t>
        </is>
      </c>
      <c r="C15" s="6" t="inlineStr">
        <is>
          <t>Home</t>
        </is>
      </c>
    </row>
    <row r="16">
      <c r="B16" s="2" t="inlineStr">
        <is>
          <t>Slot</t>
        </is>
      </c>
      <c r="C16" s="6" t="inlineStr">
        <is>
          <t>Hero banner - slide 1</t>
        </is>
      </c>
    </row>
    <row r="17">
      <c r="B17" s="2" t="inlineStr">
        <is>
          <t>Recommended size</t>
        </is>
      </c>
      <c r="C17" s="6" t="inlineStr">
        <is>
          <t>2400 x 1000 px, JPG, under 400 KB</t>
        </is>
      </c>
    </row>
    <row r="18">
      <c r="B18" s="2" t="inlineStr">
        <is>
          <t>Current file</t>
        </is>
      </c>
      <c r="C18" s="6" t="inlineStr">
        <is>
          <t>sadoer-collagen-banner.jpg (1024 x 415)</t>
        </is>
      </c>
    </row>
    <row r="19">
      <c r="B19" s="2" t="inlineStr">
        <is>
          <t>Meets minimum?</t>
        </is>
      </c>
      <c r="C19" s="6" t="inlineStr">
        <is>
          <t>Too small - needs a new image</t>
        </is>
      </c>
    </row>
    <row r="20">
      <c r="B20" s="2" t="inlineStr">
        <is>
          <t>Status</t>
        </is>
      </c>
      <c r="C20" s="6" t="inlineStr">
        <is>
          <t>To do</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U2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26" customWidth="1" min="3" max="3"/>
    <col width="40" customWidth="1" min="4" max="4"/>
    <col width="9" customWidth="1" min="5" max="5"/>
    <col width="11" customWidth="1" min="6" max="6"/>
    <col width="11" customWidth="1" min="7" max="7"/>
    <col width="11" customWidth="1" min="8" max="8"/>
    <col width="11" customWidth="1" min="9" max="9"/>
    <col width="12" customWidth="1" min="10" max="10"/>
    <col width="18" customWidth="1" min="11" max="11"/>
    <col width="14" customWidth="1" min="12" max="12"/>
    <col width="55" customWidth="1" min="13" max="13"/>
    <col width="34" customWidth="1" min="14" max="14"/>
    <col width="10" customWidth="1" min="15" max="15"/>
    <col width="10" customWidth="1" min="16" max="16"/>
    <col width="14" customWidth="1" min="17" max="17"/>
    <col width="13" customWidth="1" min="18" max="18"/>
    <col width="14" customWidth="1" min="19" max="19"/>
    <col width="12" customWidth="1" min="20" max="20"/>
    <col width="28" customWidth="1" min="21" max="21"/>
  </cols>
  <sheetData>
    <row r="1" ht="34" customHeight="1">
      <c r="A1" s="7" t="inlineStr">
        <is>
          <t>#</t>
        </is>
      </c>
      <c r="B1" s="7" t="inlineStr">
        <is>
          <t>Screen</t>
        </is>
      </c>
      <c r="C1" s="7" t="inlineStr">
        <is>
          <t>Section / slot</t>
        </is>
      </c>
      <c r="D1" s="7" t="inlineStr">
        <is>
          <t>What it shows</t>
        </is>
      </c>
      <c r="E1" s="7" t="inlineStr">
        <is>
          <t>Qty needed</t>
        </is>
      </c>
      <c r="F1" s="7" t="inlineStr">
        <is>
          <t>Rec. width (px)</t>
        </is>
      </c>
      <c r="G1" s="7" t="inlineStr">
        <is>
          <t>Rec. height (px)</t>
        </is>
      </c>
      <c r="H1" s="7" t="inlineStr">
        <is>
          <t>Min. width (px)</t>
        </is>
      </c>
      <c r="I1" s="7" t="inlineStr">
        <is>
          <t>Min. height (px)</t>
        </is>
      </c>
      <c r="J1" s="7" t="inlineStr">
        <is>
          <t>Shape (ratio)</t>
        </is>
      </c>
      <c r="K1" s="7" t="inlineStr">
        <is>
          <t>Format</t>
        </is>
      </c>
      <c r="L1" s="7" t="inlineStr">
        <is>
          <t>Max size</t>
        </is>
      </c>
      <c r="M1" s="7" t="inlineStr">
        <is>
          <t>Style and safe-area notes</t>
        </is>
      </c>
      <c r="N1" s="7" t="inlineStr">
        <is>
          <t>Current file</t>
        </is>
      </c>
      <c r="O1" s="7" t="inlineStr">
        <is>
          <t>Current width</t>
        </is>
      </c>
      <c r="P1" s="7" t="inlineStr">
        <is>
          <t>Current height</t>
        </is>
      </c>
      <c r="Q1" s="7" t="inlineStr">
        <is>
          <t>Meets minimum?</t>
        </is>
      </c>
      <c r="R1" s="7" t="inlineStr">
        <is>
          <t>Status</t>
        </is>
      </c>
      <c r="S1" s="7" t="inlineStr">
        <is>
          <t>Owner</t>
        </is>
      </c>
      <c r="T1" s="7" t="inlineStr">
        <is>
          <t>Due date</t>
        </is>
      </c>
      <c r="U1" s="7" t="inlineStr">
        <is>
          <t>Notes</t>
        </is>
      </c>
    </row>
    <row r="2" ht="45" customHeight="1">
      <c r="A2" s="8" t="n">
        <v>1</v>
      </c>
      <c r="B2" s="9" t="inlineStr">
        <is>
          <t>All pages</t>
        </is>
      </c>
      <c r="C2" s="9" t="inlineStr">
        <is>
          <t>Logo (header)</t>
        </is>
      </c>
      <c r="D2" s="9" t="inlineStr">
        <is>
          <t>iDermaCare logo shown top-left on every page (appears about 116 x 32 px).</t>
        </is>
      </c>
      <c r="E2" s="8" t="n">
        <v>1</v>
      </c>
      <c r="F2" s="8" t="n">
        <v>1200</v>
      </c>
      <c r="G2" s="8" t="n">
        <v>320</v>
      </c>
      <c r="H2" s="8" t="n">
        <v>464</v>
      </c>
      <c r="I2" s="8" t="n">
        <v>128</v>
      </c>
      <c r="J2" s="8">
        <f>IF(OR(G2="",G2=0),"",ROUND(F2/G2,2)&amp;" : 1")</f>
        <v/>
      </c>
      <c r="K2" s="9" t="inlineStr">
        <is>
          <t>PNG (transparent) or SVG</t>
        </is>
      </c>
      <c r="L2" s="9" t="inlineStr">
        <is>
          <t>300 KB</t>
        </is>
      </c>
      <c r="M2" s="9" t="inlineStr">
        <is>
          <t>Transparent background. Keep a little empty margin around the logo. Also needed in a dark/white version if you want a footer variant.</t>
        </is>
      </c>
      <c r="N2" s="10" t="inlineStr">
        <is>
          <t>logo.png</t>
        </is>
      </c>
      <c r="O2" s="11" t="n">
        <v>1024</v>
      </c>
      <c r="P2" s="11" t="n">
        <v>223</v>
      </c>
      <c r="Q2" s="8">
        <f>IF(O2="","Missing",IF(AND(O2&gt;=H2,P2&gt;=I2),"OK","Too small"))</f>
        <v/>
      </c>
      <c r="R2" s="11" t="inlineStr">
        <is>
          <t>To do</t>
        </is>
      </c>
      <c r="S2" s="10" t="inlineStr"/>
      <c r="T2" s="12" t="n"/>
      <c r="U2" s="10" t="inlineStr"/>
    </row>
    <row r="3" ht="45" customHeight="1">
      <c r="A3" s="8" t="n">
        <v>2</v>
      </c>
      <c r="B3" s="9" t="inlineStr">
        <is>
          <t>All pages</t>
        </is>
      </c>
      <c r="C3" s="9" t="inlineStr">
        <is>
          <t>Browser tab icon (favicon)</t>
        </is>
      </c>
      <c r="D3" s="9" t="inlineStr">
        <is>
          <t>Small icon in the browser tab and bookmarks.</t>
        </is>
      </c>
      <c r="E3" s="8" t="n">
        <v>1</v>
      </c>
      <c r="F3" s="8" t="n">
        <v>512</v>
      </c>
      <c r="G3" s="8" t="n">
        <v>512</v>
      </c>
      <c r="H3" s="8" t="n">
        <v>256</v>
      </c>
      <c r="I3" s="8" t="n">
        <v>256</v>
      </c>
      <c r="J3" s="8">
        <f>IF(OR(G3="",G3=0),"",ROUND(F3/G3,2)&amp;" : 1")</f>
        <v/>
      </c>
      <c r="K3" s="9" t="inlineStr">
        <is>
          <t>PNG (also SVG)</t>
        </is>
      </c>
      <c r="L3" s="9" t="inlineStr">
        <is>
          <t>100 KB</t>
        </is>
      </c>
      <c r="M3" s="9" t="inlineStr">
        <is>
          <t>Simple mark only - no text. It is shown as small as 16 px, so the shape must read at that size.</t>
        </is>
      </c>
      <c r="N3" s="10" t="inlineStr">
        <is>
          <t>favicon.png</t>
        </is>
      </c>
      <c r="O3" s="11" t="n">
        <v>500</v>
      </c>
      <c r="P3" s="11" t="n">
        <v>500</v>
      </c>
      <c r="Q3" s="8">
        <f>IF(O3="","Missing",IF(AND(O3&gt;=H3,P3&gt;=I3),"OK","Too small"))</f>
        <v/>
      </c>
      <c r="R3" s="11" t="inlineStr">
        <is>
          <t>To do</t>
        </is>
      </c>
      <c r="S3" s="10" t="inlineStr"/>
      <c r="T3" s="12" t="n"/>
      <c r="U3" s="10" t="inlineStr"/>
    </row>
    <row r="4" ht="45" customHeight="1">
      <c r="A4" s="8" t="n">
        <v>3</v>
      </c>
      <c r="B4" s="9" t="inlineStr">
        <is>
          <t>All pages / Google</t>
        </is>
      </c>
      <c r="C4" s="9" t="inlineStr">
        <is>
          <t>Square logo for Google and social profiles</t>
        </is>
      </c>
      <c r="D4" s="9" t="inlineStr">
        <is>
          <t>Search engines and social profiles prefer a square logo.</t>
        </is>
      </c>
      <c r="E4" s="8" t="n">
        <v>1</v>
      </c>
      <c r="F4" s="8" t="n">
        <v>512</v>
      </c>
      <c r="G4" s="8" t="n">
        <v>512</v>
      </c>
      <c r="H4" s="8" t="n">
        <v>112</v>
      </c>
      <c r="I4" s="8" t="n">
        <v>112</v>
      </c>
      <c r="J4" s="8">
        <f>IF(OR(G4="",G4=0),"",ROUND(F4/G4,2)&amp;" : 1")</f>
        <v/>
      </c>
      <c r="K4" s="9" t="inlineStr">
        <is>
          <t>PNG</t>
        </is>
      </c>
      <c r="L4" s="9" t="inlineStr">
        <is>
          <t>200 KB</t>
        </is>
      </c>
      <c r="M4" s="9" t="inlineStr">
        <is>
          <t>Logo centred on a white or brand-colour square, with about 10% padding. Used in search-result knowledge panels.</t>
        </is>
      </c>
      <c r="N4" s="10" t="inlineStr">
        <is>
          <t>(none)</t>
        </is>
      </c>
      <c r="O4" s="11" t="n"/>
      <c r="P4" s="11" t="n"/>
      <c r="Q4" s="8">
        <f>IF(O4="","Missing",IF(AND(O4&gt;=H4,P4&gt;=I4),"OK","Too small"))</f>
        <v/>
      </c>
      <c r="R4" s="11" t="inlineStr">
        <is>
          <t>To do</t>
        </is>
      </c>
      <c r="S4" s="10" t="inlineStr"/>
      <c r="T4" s="12" t="n"/>
      <c r="U4" s="10" t="inlineStr"/>
    </row>
    <row r="5" ht="45" customHeight="1">
      <c r="A5" s="8" t="n">
        <v>4</v>
      </c>
      <c r="B5" s="9" t="inlineStr">
        <is>
          <t>All pages / Social</t>
        </is>
      </c>
      <c r="C5" s="9" t="inlineStr">
        <is>
          <t>Default share image</t>
        </is>
      </c>
      <c r="D5" s="9" t="inlineStr">
        <is>
          <t>Picture that appears when the site link is shared on WhatsApp, Facebook, TikTok or Google Discover.</t>
        </is>
      </c>
      <c r="E5" s="8" t="n">
        <v>1</v>
      </c>
      <c r="F5" s="8" t="n">
        <v>1200</v>
      </c>
      <c r="G5" s="8" t="n">
        <v>630</v>
      </c>
      <c r="H5" s="8" t="n">
        <v>1200</v>
      </c>
      <c r="I5" s="8" t="n">
        <v>630</v>
      </c>
      <c r="J5" s="8">
        <f>IF(OR(G5="",G5=0),"",ROUND(F5/G5,2)&amp;" : 1")</f>
        <v/>
      </c>
      <c r="K5" s="9" t="inlineStr">
        <is>
          <t>JPG</t>
        </is>
      </c>
      <c r="L5" s="9" t="inlineStr">
        <is>
          <t>400 KB</t>
        </is>
      </c>
      <c r="M5" s="9" t="inlineStr">
        <is>
          <t>Landscape 1.91:1. Keep logo and text inside the centre 80%. Currently the first product photo is used, which is square and gets cropped.</t>
        </is>
      </c>
      <c r="N5" s="10" t="inlineStr">
        <is>
          <t>(none - uses product photo)</t>
        </is>
      </c>
      <c r="O5" s="11" t="n"/>
      <c r="P5" s="11" t="n"/>
      <c r="Q5" s="8">
        <f>IF(O5="","Missing",IF(AND(O5&gt;=H5,P5&gt;=I5),"OK","Too small"))</f>
        <v/>
      </c>
      <c r="R5" s="11" t="inlineStr">
        <is>
          <t>To do</t>
        </is>
      </c>
      <c r="S5" s="10" t="inlineStr"/>
      <c r="T5" s="12" t="n"/>
      <c r="U5" s="10" t="inlineStr"/>
    </row>
    <row r="6" ht="98" customHeight="1">
      <c r="A6" s="8" t="n">
        <v>5</v>
      </c>
      <c r="B6" s="9" t="inlineStr">
        <is>
          <t>Home</t>
        </is>
      </c>
      <c r="C6" s="9" t="inlineStr">
        <is>
          <t>Hero banner slides - desktop and tablet</t>
        </is>
      </c>
      <c r="D6" s="9" t="inlineStr">
        <is>
          <t>Large rotating banner at the top of the home page (3 slides) for computers and tablets (750 px wide and up).</t>
        </is>
      </c>
      <c r="E6" s="8" t="n">
        <v>3</v>
      </c>
      <c r="F6" s="8" t="n">
        <v>2400</v>
      </c>
      <c r="G6" s="8" t="n">
        <v>1000</v>
      </c>
      <c r="H6" s="8" t="n">
        <v>1600</v>
      </c>
      <c r="I6" s="8" t="n">
        <v>667</v>
      </c>
      <c r="J6" s="8">
        <f>IF(OR(G6="",G6=0),"",ROUND(F6/G6,2)&amp;" : 1")</f>
        <v/>
      </c>
      <c r="K6" s="9" t="inlineStr">
        <is>
          <t>JPG (or WebP)</t>
        </is>
      </c>
      <c r="L6" s="9" t="inlineStr">
        <is>
          <t>400 KB each</t>
        </is>
      </c>
      <c r="M6" s="9" t="inlineStr">
        <is>
          <t>Shown 624 px tall on desktop and 546 on tablet, always cropped to fill. Put the product in the middle and right; leave the left third calmer because the headline sits there. No text baked into the image - the site adds the headline and button. Phones use the separate phone version below.</t>
        </is>
      </c>
      <c r="N6" s="10" t="inlineStr">
        <is>
          <t>sadoer-collagen-banner.jpg / some-by-mi-banner.jpg / mighty-patch-banner.jpg</t>
        </is>
      </c>
      <c r="O6" s="11" t="n">
        <v>1024</v>
      </c>
      <c r="P6" s="11" t="n">
        <v>415</v>
      </c>
      <c r="Q6" s="8">
        <f>IF(O6="","Missing",IF(AND(O6&gt;=H6,P6&gt;=I6),"OK","Too small"))</f>
        <v/>
      </c>
      <c r="R6" s="11" t="inlineStr">
        <is>
          <t>To do</t>
        </is>
      </c>
      <c r="S6" s="10" t="inlineStr"/>
      <c r="T6" s="12" t="n"/>
      <c r="U6" s="10" t="inlineStr"/>
    </row>
    <row r="7" ht="84" customHeight="1">
      <c r="A7" s="8" t="n">
        <v>6</v>
      </c>
      <c r="B7" s="9" t="inlineStr">
        <is>
          <t>Home</t>
        </is>
      </c>
      <c r="C7" s="9" t="inlineStr">
        <is>
          <t>Hero banner slides - phone version</t>
        </is>
      </c>
      <c r="D7" s="9" t="inlineStr">
        <is>
          <t>Separate tall banner shown on phones (screens under 750 px wide). Optional: if empty, the desktop banner is cropped instead. Set in Admin &gt; Website content &gt; Banner picture for phones.</t>
        </is>
      </c>
      <c r="E7" s="8" t="n">
        <v>3</v>
      </c>
      <c r="F7" s="8" t="n">
        <v>1080</v>
      </c>
      <c r="G7" s="8" t="n">
        <v>1440</v>
      </c>
      <c r="H7" s="8" t="n">
        <v>720</v>
      </c>
      <c r="I7" s="8" t="n">
        <v>960</v>
      </c>
      <c r="J7" s="8">
        <f>IF(OR(G7="",G7=0),"",ROUND(F7/G7,2)&amp;" : 1")</f>
        <v/>
      </c>
      <c r="K7" s="9" t="inlineStr">
        <is>
          <t>JPG (or WebP)</t>
        </is>
      </c>
      <c r="L7" s="9" t="inlineStr">
        <is>
          <t>300 KB each</t>
        </is>
      </c>
      <c r="M7" s="9" t="inlineStr">
        <is>
          <t>Portrait 3:4. Shown about 390 px wide and at least 520 px tall. Put the product in the upper 60%; the bottom 35% sits under the headline and button (a soft dark fade is added by the site), so keep it calm there. No text baked into the image.</t>
        </is>
      </c>
      <c r="N7" s="10" t="inlineStr">
        <is>
          <t>(none yet)</t>
        </is>
      </c>
      <c r="O7" s="11" t="n"/>
      <c r="P7" s="11" t="n"/>
      <c r="Q7" s="8">
        <f>IF(O7="","Missing",IF(AND(O7&gt;=H7,P7&gt;=I7),"OK","Too small"))</f>
        <v/>
      </c>
      <c r="R7" s="11" t="inlineStr">
        <is>
          <t>To do</t>
        </is>
      </c>
      <c r="S7" s="10" t="inlineStr"/>
      <c r="T7" s="12" t="n"/>
      <c r="U7" s="10" t="inlineStr"/>
    </row>
    <row r="8" ht="45" customHeight="1">
      <c r="A8" s="8" t="n">
        <v>7</v>
      </c>
      <c r="B8" s="9" t="inlineStr">
        <is>
          <t>Home</t>
        </is>
      </c>
      <c r="C8" s="9" t="inlineStr">
        <is>
          <t>Category circles (stories row)</t>
        </is>
      </c>
      <c r="D8" s="9" t="inlineStr">
        <is>
          <t>Round pictures under the header: SADOER, Hero, SOME BY MI, Masks, Toners, Patches.</t>
        </is>
      </c>
      <c r="E8" s="8" t="n">
        <v>6</v>
      </c>
      <c r="F8" s="8" t="n">
        <v>800</v>
      </c>
      <c r="G8" s="8" t="n">
        <v>800</v>
      </c>
      <c r="H8" s="8" t="n">
        <v>400</v>
      </c>
      <c r="I8" s="8" t="n">
        <v>400</v>
      </c>
      <c r="J8" s="8">
        <f>IF(OR(G8="",G8=0),"",ROUND(F8/G8,2)&amp;" : 1")</f>
        <v/>
      </c>
      <c r="K8" s="9" t="inlineStr">
        <is>
          <t>JPG or PNG</t>
        </is>
      </c>
      <c r="L8" s="9" t="inlineStr">
        <is>
          <t>150 KB each</t>
        </is>
      </c>
      <c r="M8" s="9" t="inlineStr">
        <is>
          <t>Square. The site crops it into a circle, so keep the subject centred with space around it. Clean, bright background.</t>
        </is>
      </c>
      <c r="N8" s="10" t="inlineStr">
        <is>
          <t>products/*/1 and 2 (product photos reused)</t>
        </is>
      </c>
      <c r="O8" s="11" t="n">
        <v>1500</v>
      </c>
      <c r="P8" s="11" t="n">
        <v>1500</v>
      </c>
      <c r="Q8" s="8">
        <f>IF(O8="","Missing",IF(AND(O8&gt;=H8,P8&gt;=I8),"OK","Too small"))</f>
        <v/>
      </c>
      <c r="R8" s="11" t="inlineStr">
        <is>
          <t>To do</t>
        </is>
      </c>
      <c r="S8" s="10" t="inlineStr"/>
      <c r="T8" s="12" t="n"/>
      <c r="U8" s="10" t="inlineStr"/>
    </row>
    <row r="9" ht="45" customHeight="1">
      <c r="A9" s="8" t="n">
        <v>8</v>
      </c>
      <c r="B9" s="9" t="inlineStr">
        <is>
          <t>Home</t>
        </is>
      </c>
      <c r="C9" s="9" t="inlineStr">
        <is>
          <t>Story full-screen photos</t>
        </is>
      </c>
      <c r="D9" s="9" t="inlineStr">
        <is>
          <t>Photo/video that opens when a category circle is tapped (phone-style full screen).</t>
        </is>
      </c>
      <c r="E9" s="8" t="n">
        <v>6</v>
      </c>
      <c r="F9" s="8" t="n">
        <v>1080</v>
      </c>
      <c r="G9" s="8" t="n">
        <v>1920</v>
      </c>
      <c r="H9" s="8" t="n">
        <v>720</v>
      </c>
      <c r="I9" s="8" t="n">
        <v>1280</v>
      </c>
      <c r="J9" s="8">
        <f>IF(OR(G9="",G9=0),"",ROUND(F9/G9,2)&amp;" : 1")</f>
        <v/>
      </c>
      <c r="K9" s="9" t="inlineStr">
        <is>
          <t>JPG, or MP4 for video</t>
        </is>
      </c>
      <c r="L9" s="9" t="inlineStr">
        <is>
          <t>500 KB photo / 40 MB video</t>
        </is>
      </c>
      <c r="M9" s="9" t="inlineStr">
        <is>
          <t>Portrait 9:16. Keep faces and products away from the top 12% and bottom 18% (buttons and title overlap there).</t>
        </is>
      </c>
      <c r="N9" s="10" t="inlineStr">
        <is>
          <t>products/*/1 (product photos reused)</t>
        </is>
      </c>
      <c r="O9" s="11" t="n">
        <v>522</v>
      </c>
      <c r="P9" s="11" t="n">
        <v>624</v>
      </c>
      <c r="Q9" s="8">
        <f>IF(O9="","Missing",IF(AND(O9&gt;=H9,P9&gt;=I9),"OK","Too small"))</f>
        <v/>
      </c>
      <c r="R9" s="11" t="inlineStr">
        <is>
          <t>To do</t>
        </is>
      </c>
      <c r="S9" s="10" t="inlineStr"/>
      <c r="T9" s="12" t="n"/>
      <c r="U9" s="10" t="inlineStr"/>
    </row>
    <row r="10" ht="45" customHeight="1">
      <c r="A10" s="8" t="n">
        <v>9</v>
      </c>
      <c r="B10" s="9" t="inlineStr">
        <is>
          <t>Home</t>
        </is>
      </c>
      <c r="C10" s="9" t="inlineStr">
        <is>
          <t>Brand logos row</t>
        </is>
      </c>
      <c r="D10" s="9" t="inlineStr">
        <is>
          <t>Logos of SADOER, Hero Cosmetics and SOME BY MI in a row, shown as circles.</t>
        </is>
      </c>
      <c r="E10" s="8" t="n">
        <v>3</v>
      </c>
      <c r="F10" s="8" t="n">
        <v>800</v>
      </c>
      <c r="G10" s="8" t="n">
        <v>800</v>
      </c>
      <c r="H10" s="8" t="n">
        <v>400</v>
      </c>
      <c r="I10" s="8" t="n">
        <v>400</v>
      </c>
      <c r="J10" s="8">
        <f>IF(OR(G10="",G10=0),"",ROUND(F10/G10,2)&amp;" : 1")</f>
        <v/>
      </c>
      <c r="K10" s="9" t="inlineStr">
        <is>
          <t>SVG or PNG (transparent)</t>
        </is>
      </c>
      <c r="L10" s="9" t="inlineStr">
        <is>
          <t>100 KB each</t>
        </is>
      </c>
      <c r="M10" s="9" t="inlineStr">
        <is>
          <t>Square canvas, logo centred with 15% padding. Use the official brand artwork where you are allowed to.</t>
        </is>
      </c>
      <c r="N10" s="10" t="inlineStr">
        <is>
          <t>brands/sadoer.svg, hero.svg, some-by-mi.svg</t>
        </is>
      </c>
      <c r="O10" s="11" t="n"/>
      <c r="P10" s="11" t="n"/>
      <c r="Q10" s="8">
        <f>IF(O10="","Missing",IF(AND(O10&gt;=H10,P10&gt;=I10),"OK","Too small"))</f>
        <v/>
      </c>
      <c r="R10" s="11" t="inlineStr">
        <is>
          <t>To do</t>
        </is>
      </c>
      <c r="S10" s="10" t="inlineStr"/>
      <c r="T10" s="12" t="n"/>
      <c r="U10" s="10" t="inlineStr"/>
    </row>
    <row r="11" ht="45" customHeight="1">
      <c r="A11" s="8" t="n">
        <v>10</v>
      </c>
      <c r="B11" s="9" t="inlineStr">
        <is>
          <t>Home</t>
        </is>
      </c>
      <c r="C11" s="9" t="inlineStr">
        <is>
          <t>"Our story" photo</t>
        </is>
      </c>
      <c r="D11" s="9" t="inlineStr">
        <is>
          <t>Picture beside the "A short list, chosen carefully" text.</t>
        </is>
      </c>
      <c r="E11" s="8" t="n">
        <v>1</v>
      </c>
      <c r="F11" s="8" t="n">
        <v>1200</v>
      </c>
      <c r="G11" s="8" t="n">
        <v>1200</v>
      </c>
      <c r="H11" s="8" t="n">
        <v>800</v>
      </c>
      <c r="I11" s="8" t="n">
        <v>800</v>
      </c>
      <c r="J11" s="8">
        <f>IF(OR(G11="",G11=0),"",ROUND(F11/G11,2)&amp;" : 1")</f>
        <v/>
      </c>
      <c r="K11" s="9" t="inlineStr">
        <is>
          <t>JPG</t>
        </is>
      </c>
      <c r="L11" s="9" t="inlineStr">
        <is>
          <t>300 KB</t>
        </is>
      </c>
      <c r="M11" s="9" t="inlineStr">
        <is>
          <t>Square 1:1. Best as a group shot of the three products on a clean surface.</t>
        </is>
      </c>
      <c r="N11" s="10" t="inlineStr">
        <is>
          <t>products/story-trio.jpg</t>
        </is>
      </c>
      <c r="O11" s="11" t="n">
        <v>1024</v>
      </c>
      <c r="P11" s="11" t="n">
        <v>1024</v>
      </c>
      <c r="Q11" s="8">
        <f>IF(O11="","Missing",IF(AND(O11&gt;=H11,P11&gt;=I11),"OK","Too small"))</f>
        <v/>
      </c>
      <c r="R11" s="11" t="inlineStr">
        <is>
          <t>To do</t>
        </is>
      </c>
      <c r="S11" s="10" t="inlineStr"/>
      <c r="T11" s="12" t="n"/>
      <c r="U11" s="10" t="inlineStr"/>
    </row>
    <row r="12" ht="45" customHeight="1">
      <c r="A12" s="8" t="n">
        <v>11</v>
      </c>
      <c r="B12" s="9" t="inlineStr">
        <is>
          <t>Home</t>
        </is>
      </c>
      <c r="C12" s="9" t="inlineStr">
        <is>
          <t>Customer review photos</t>
        </is>
      </c>
      <c r="D12" s="9" t="inlineStr">
        <is>
          <t>Photos in the scrolling reviews strip.</t>
        </is>
      </c>
      <c r="E12" s="8" t="n">
        <v>8</v>
      </c>
      <c r="F12" s="8" t="n">
        <v>800</v>
      </c>
      <c r="G12" s="8" t="n">
        <v>800</v>
      </c>
      <c r="H12" s="8" t="n">
        <v>400</v>
      </c>
      <c r="I12" s="8" t="n">
        <v>400</v>
      </c>
      <c r="J12" s="8">
        <f>IF(OR(G12="",G12=0),"",ROUND(F12/G12,2)&amp;" : 1")</f>
        <v/>
      </c>
      <c r="K12" s="9" t="inlineStr">
        <is>
          <t>JPG</t>
        </is>
      </c>
      <c r="L12" s="9" t="inlineStr">
        <is>
          <t>200 KB each</t>
        </is>
      </c>
      <c r="M12" s="9" t="inlineStr">
        <is>
          <t>Square 1:1 customer photos or product-in-use shots. Only use photos you have permission to show.</t>
        </is>
      </c>
      <c r="N12" s="10" t="inlineStr">
        <is>
          <t>reviews/review-1 to 8.jpg</t>
        </is>
      </c>
      <c r="O12" s="11" t="n">
        <v>1024</v>
      </c>
      <c r="P12" s="11" t="n">
        <v>1024</v>
      </c>
      <c r="Q12" s="8">
        <f>IF(O12="","Missing",IF(AND(O12&gt;=H12,P12&gt;=I12),"OK","Too small"))</f>
        <v/>
      </c>
      <c r="R12" s="11" t="inlineStr">
        <is>
          <t>To do</t>
        </is>
      </c>
      <c r="S12" s="10" t="inlineStr"/>
      <c r="T12" s="12" t="n"/>
      <c r="U12" s="10" t="inlineStr"/>
    </row>
    <row r="13" ht="45" customHeight="1">
      <c r="A13" s="8" t="n">
        <v>12</v>
      </c>
      <c r="B13" s="9" t="inlineStr">
        <is>
          <t>Home / Shop</t>
        </is>
      </c>
      <c r="C13" s="9" t="inlineStr">
        <is>
          <t>Product cards</t>
        </is>
      </c>
      <c r="D13" s="9" t="inlineStr">
        <is>
          <t>Square product picture on every product card (uses the first gallery photo of each product).</t>
        </is>
      </c>
      <c r="E13" s="8" t="n">
        <v>3</v>
      </c>
      <c r="F13" s="8" t="n">
        <v>1200</v>
      </c>
      <c r="G13" s="8" t="n">
        <v>1200</v>
      </c>
      <c r="H13" s="8" t="n">
        <v>800</v>
      </c>
      <c r="I13" s="8" t="n">
        <v>800</v>
      </c>
      <c r="J13" s="8">
        <f>IF(OR(G13="",G13=0),"",ROUND(F13/G13,2)&amp;" : 1")</f>
        <v/>
      </c>
      <c r="K13" s="9" t="inlineStr">
        <is>
          <t>JPG or PNG</t>
        </is>
      </c>
      <c r="L13" s="9" t="inlineStr">
        <is>
          <t>300 KB each</t>
        </is>
      </c>
      <c r="M13" s="9" t="inlineStr">
        <is>
          <t>Square 1:1, product centred on a plain white or soft background. The first gallery photo is used here, so make it the best one.</t>
        </is>
      </c>
      <c r="N13" s="10" t="inlineStr">
        <is>
          <t>products/*/1 (first gallery photo)</t>
        </is>
      </c>
      <c r="O13" s="11" t="n">
        <v>800</v>
      </c>
      <c r="P13" s="11" t="n">
        <v>800</v>
      </c>
      <c r="Q13" s="8">
        <f>IF(O13="","Missing",IF(AND(O13&gt;=H13,P13&gt;=I13),"OK","Too small"))</f>
        <v/>
      </c>
      <c r="R13" s="11" t="inlineStr">
        <is>
          <t>To do</t>
        </is>
      </c>
      <c r="S13" s="10" t="inlineStr"/>
      <c r="T13" s="12" t="n"/>
      <c r="U13" s="10" t="inlineStr"/>
    </row>
    <row r="14" ht="45" customHeight="1">
      <c r="A14" s="8" t="n">
        <v>13</v>
      </c>
      <c r="B14" s="9" t="inlineStr">
        <is>
          <t>Product pages</t>
        </is>
      </c>
      <c r="C14" s="9" t="inlineStr">
        <is>
          <t>Main product photo (gallery photo 1)</t>
        </is>
      </c>
      <c r="D14" s="9" t="inlineStr">
        <is>
          <t>Big picture at the top of each product page; zoomable.</t>
        </is>
      </c>
      <c r="E14" s="8" t="n">
        <v>3</v>
      </c>
      <c r="F14" s="8" t="n">
        <v>2000</v>
      </c>
      <c r="G14" s="8" t="n">
        <v>2000</v>
      </c>
      <c r="H14" s="8" t="n">
        <v>1000</v>
      </c>
      <c r="I14" s="8" t="n">
        <v>1000</v>
      </c>
      <c r="J14" s="8">
        <f>IF(OR(G14="",G14=0),"",ROUND(F14/G14,2)&amp;" : 1")</f>
        <v/>
      </c>
      <c r="K14" s="9" t="inlineStr">
        <is>
          <t>JPG (PNG if transparent)</t>
        </is>
      </c>
      <c r="L14" s="9" t="inlineStr">
        <is>
          <t>500 KB each</t>
        </is>
      </c>
      <c r="M14" s="9" t="inlineStr">
        <is>
          <t>Square 1:1, product fills about 80% of the frame on a white background. Sharp label text. Shown with 24 px padding, so do not crop tight.</t>
        </is>
      </c>
      <c r="N14" s="10" t="inlineStr">
        <is>
          <t>products/*/1</t>
        </is>
      </c>
      <c r="O14" s="11" t="n">
        <v>522</v>
      </c>
      <c r="P14" s="11" t="n">
        <v>624</v>
      </c>
      <c r="Q14" s="8">
        <f>IF(O14="","Missing",IF(AND(O14&gt;=H14,P14&gt;=I14),"OK","Too small"))</f>
        <v/>
      </c>
      <c r="R14" s="11" t="inlineStr">
        <is>
          <t>To do</t>
        </is>
      </c>
      <c r="S14" s="10" t="inlineStr"/>
      <c r="T14" s="12" t="n"/>
      <c r="U14" s="10" t="inlineStr"/>
    </row>
    <row r="15" ht="56" customHeight="1">
      <c r="A15" s="8" t="n">
        <v>14</v>
      </c>
      <c r="B15" s="9" t="inlineStr">
        <is>
          <t>Product pages</t>
        </is>
      </c>
      <c r="C15" s="9" t="inlineStr">
        <is>
          <t>Extra gallery photos</t>
        </is>
      </c>
      <c r="D15" s="9" t="inlineStr">
        <is>
          <t>Pictures 2 to 6 for each product: pack front/back, texture, size comparison, how to use, ingredients / label.</t>
        </is>
      </c>
      <c r="E15" s="8" t="n">
        <v>15</v>
      </c>
      <c r="F15" s="8" t="n">
        <v>2000</v>
      </c>
      <c r="G15" s="8" t="n">
        <v>2000</v>
      </c>
      <c r="H15" s="8" t="n">
        <v>1000</v>
      </c>
      <c r="I15" s="8" t="n">
        <v>1000</v>
      </c>
      <c r="J15" s="8">
        <f>IF(OR(G15="",G15=0),"",ROUND(F15/G15,2)&amp;" : 1")</f>
        <v/>
      </c>
      <c r="K15" s="9" t="inlineStr">
        <is>
          <t>JPG</t>
        </is>
      </c>
      <c r="L15" s="9" t="inlineStr">
        <is>
          <t>500 KB each</t>
        </is>
      </c>
      <c r="M15" s="9" t="inlineStr">
        <is>
          <t>5 extra photos per product (3 products). Square 1:1. Mix: close-up of the texture, product in hand for scale, step-by-step use, the back label, one lifestyle photo.</t>
        </is>
      </c>
      <c r="N15" s="10" t="inlineStr">
        <is>
          <t>products/*/2 to 7</t>
        </is>
      </c>
      <c r="O15" s="11" t="n">
        <v>522</v>
      </c>
      <c r="P15" s="11" t="n">
        <v>522</v>
      </c>
      <c r="Q15" s="8">
        <f>IF(O15="","Missing",IF(AND(O15&gt;=H15,P15&gt;=I15),"OK","Too small"))</f>
        <v/>
      </c>
      <c r="R15" s="11" t="inlineStr">
        <is>
          <t>To do</t>
        </is>
      </c>
      <c r="S15" s="10" t="inlineStr"/>
      <c r="T15" s="12" t="n"/>
      <c r="U15" s="10" t="inlineStr"/>
    </row>
    <row r="16" ht="45" customHeight="1">
      <c r="A16" s="8" t="n">
        <v>15</v>
      </c>
      <c r="B16" s="9" t="inlineStr">
        <is>
          <t>Product pages</t>
        </is>
      </c>
      <c r="C16" s="9" t="inlineStr">
        <is>
          <t>Product video (landscape)</t>
        </is>
      </c>
      <c r="D16" s="9" t="inlineStr">
        <is>
          <t>Short demo or brand video in the player on the product page.</t>
        </is>
      </c>
      <c r="E16" s="8" t="n">
        <v>3</v>
      </c>
      <c r="F16" s="8" t="n">
        <v>1920</v>
      </c>
      <c r="G16" s="8" t="n">
        <v>1080</v>
      </c>
      <c r="H16" s="8" t="n">
        <v>1280</v>
      </c>
      <c r="I16" s="8" t="n">
        <v>720</v>
      </c>
      <c r="J16" s="8">
        <f>IF(OR(G16="",G16=0),"",ROUND(F16/G16,2)&amp;" : 1")</f>
        <v/>
      </c>
      <c r="K16" s="9" t="inlineStr">
        <is>
          <t>MP4 (H.264)</t>
        </is>
      </c>
      <c r="L16" s="9" t="inlineStr">
        <is>
          <t>40 MB</t>
        </is>
      </c>
      <c r="M16" s="9" t="inlineStr">
        <is>
          <t>16:9, 15-45 seconds, with a poster frame. Add captions: many people watch without sound.</t>
        </is>
      </c>
      <c r="N16" s="10" t="inlineStr">
        <is>
          <t>videos/sadoer.mp4, mighty-patch.mp4, some-by-mi.mp4</t>
        </is>
      </c>
      <c r="O16" s="11" t="n"/>
      <c r="P16" s="11" t="n"/>
      <c r="Q16" s="8">
        <f>IF(O16="","Missing",IF(AND(O16&gt;=H16,P16&gt;=I16),"OK","Too small"))</f>
        <v/>
      </c>
      <c r="R16" s="11" t="inlineStr">
        <is>
          <t>To do</t>
        </is>
      </c>
      <c r="S16" s="10" t="inlineStr"/>
      <c r="T16" s="12" t="n"/>
      <c r="U16" s="10" t="inlineStr"/>
    </row>
    <row r="17" ht="45" customHeight="1">
      <c r="A17" s="8" t="n">
        <v>16</v>
      </c>
      <c r="B17" s="9" t="inlineStr">
        <is>
          <t>Product pages</t>
        </is>
      </c>
      <c r="C17" s="9" t="inlineStr">
        <is>
          <t>Short vertical videos</t>
        </is>
      </c>
      <c r="D17" s="9" t="inlineStr">
        <is>
          <t>Optional short video for the story / reels style viewer.</t>
        </is>
      </c>
      <c r="E17" s="8" t="n">
        <v>3</v>
      </c>
      <c r="F17" s="8" t="n">
        <v>1080</v>
      </c>
      <c r="G17" s="8" t="n">
        <v>1920</v>
      </c>
      <c r="H17" s="8" t="n">
        <v>720</v>
      </c>
      <c r="I17" s="8" t="n">
        <v>1280</v>
      </c>
      <c r="J17" s="8">
        <f>IF(OR(G17="",G17=0),"",ROUND(F17/G17,2)&amp;" : 1")</f>
        <v/>
      </c>
      <c r="K17" s="9" t="inlineStr">
        <is>
          <t>MP4 (H.264)</t>
        </is>
      </c>
      <c r="L17" s="9" t="inlineStr">
        <is>
          <t>40 MB</t>
        </is>
      </c>
      <c r="M17" s="9" t="inlineStr">
        <is>
          <t>9:16, 10-30 seconds. Key action in the middle of the frame.</t>
        </is>
      </c>
      <c r="N17" s="10" t="inlineStr">
        <is>
          <t>(none)</t>
        </is>
      </c>
      <c r="O17" s="11" t="n"/>
      <c r="P17" s="11" t="n"/>
      <c r="Q17" s="8">
        <f>IF(O17="","Missing",IF(AND(O17&gt;=H17,P17&gt;=I17),"OK","Too small"))</f>
        <v/>
      </c>
      <c r="R17" s="11" t="inlineStr">
        <is>
          <t>To do</t>
        </is>
      </c>
      <c r="S17" s="10" t="inlineStr"/>
      <c r="T17" s="12" t="n"/>
      <c r="U17" s="10" t="inlineStr"/>
    </row>
    <row r="18" ht="45" customHeight="1">
      <c r="A18" s="8" t="n">
        <v>17</v>
      </c>
      <c r="B18" s="9" t="inlineStr">
        <is>
          <t>Cart / Checkout</t>
        </is>
      </c>
      <c r="C18" s="9" t="inlineStr">
        <is>
          <t>Cart thumbnails</t>
        </is>
      </c>
      <c r="D18" s="9" t="inlineStr">
        <is>
          <t>Small product picture in the cart (88 x 88 px).</t>
        </is>
      </c>
      <c r="E18" s="8" t="n">
        <v>0</v>
      </c>
      <c r="F18" s="8" t="n">
        <v>400</v>
      </c>
      <c r="G18" s="8" t="n">
        <v>400</v>
      </c>
      <c r="H18" s="8" t="n">
        <v>200</v>
      </c>
      <c r="I18" s="8" t="n">
        <v>200</v>
      </c>
      <c r="J18" s="8">
        <f>IF(OR(G18="",G18=0),"",ROUND(F18/G18,2)&amp;" : 1")</f>
        <v/>
      </c>
      <c r="K18" s="9" t="inlineStr">
        <is>
          <t>Automatic</t>
        </is>
      </c>
      <c r="L18" s="9" t="inlineStr">
        <is>
          <t>-</t>
        </is>
      </c>
      <c r="M18" s="9" t="inlineStr">
        <is>
          <t>No extra picture needed: the first product gallery photo is reused.</t>
        </is>
      </c>
      <c r="N18" s="10" t="inlineStr">
        <is>
          <t>(automatic)</t>
        </is>
      </c>
      <c r="O18" s="11" t="n"/>
      <c r="P18" s="11" t="n"/>
      <c r="Q18" s="8" t="inlineStr">
        <is>
          <t>n/a</t>
        </is>
      </c>
      <c r="R18" s="11" t="inlineStr">
        <is>
          <t>Not needed</t>
        </is>
      </c>
      <c r="S18" s="10" t="inlineStr"/>
      <c r="T18" s="12" t="n"/>
      <c r="U18" s="10" t="inlineStr"/>
    </row>
    <row r="19" ht="45" customHeight="1">
      <c r="A19" s="8" t="n">
        <v>18</v>
      </c>
      <c r="B19" s="9" t="inlineStr">
        <is>
          <t>About</t>
        </is>
      </c>
      <c r="C19" s="9" t="inlineStr">
        <is>
          <t>About us photo</t>
        </is>
      </c>
      <c r="D19" s="9" t="inlineStr">
        <is>
          <t>Photo on the About page: the team, the office or the story.</t>
        </is>
      </c>
      <c r="E19" s="8" t="n">
        <v>1</v>
      </c>
      <c r="F19" s="8" t="n">
        <v>1600</v>
      </c>
      <c r="G19" s="8" t="n">
        <v>1067</v>
      </c>
      <c r="H19" s="8" t="n">
        <v>1200</v>
      </c>
      <c r="I19" s="8" t="n">
        <v>800</v>
      </c>
      <c r="J19" s="8">
        <f>IF(OR(G19="",G19=0),"",ROUND(F19/G19,2)&amp;" : 1")</f>
        <v/>
      </c>
      <c r="K19" s="9" t="inlineStr">
        <is>
          <t>JPG</t>
        </is>
      </c>
      <c r="L19" s="9" t="inlineStr">
        <is>
          <t>400 KB</t>
        </is>
      </c>
      <c r="M19" s="9" t="inlineStr">
        <is>
          <t>Landscape 3:2 works best. It is shown whole (not cropped), so any shape will fit, but wide photos fill the page better.</t>
        </is>
      </c>
      <c r="N19" s="10" t="inlineStr">
        <is>
          <t>about/iderma-care.png</t>
        </is>
      </c>
      <c r="O19" s="11" t="n">
        <v>1024</v>
      </c>
      <c r="P19" s="11" t="n">
        <v>1024</v>
      </c>
      <c r="Q19" s="8">
        <f>IF(O19="","Missing",IF(AND(O19&gt;=H19,P19&gt;=I19),"OK","Too small"))</f>
        <v/>
      </c>
      <c r="R19" s="11" t="inlineStr">
        <is>
          <t>To do</t>
        </is>
      </c>
      <c r="S19" s="10" t="inlineStr"/>
      <c r="T19" s="12" t="n"/>
      <c r="U19" s="10" t="inlineStr"/>
    </row>
    <row r="20" ht="45" customHeight="1">
      <c r="A20" s="8" t="n">
        <v>19</v>
      </c>
      <c r="B20" s="9" t="inlineStr">
        <is>
          <t>Blog</t>
        </is>
      </c>
      <c r="C20" s="9" t="inlineStr">
        <is>
          <t>Blog cover images</t>
        </is>
      </c>
      <c r="D20" s="9" t="inlineStr">
        <is>
          <t>A cover picture for each article (the site does not show one yet; a small code change adds it).</t>
        </is>
      </c>
      <c r="E20" s="8" t="n">
        <v>3</v>
      </c>
      <c r="F20" s="8" t="n">
        <v>1200</v>
      </c>
      <c r="G20" s="8" t="n">
        <v>630</v>
      </c>
      <c r="H20" s="8" t="n">
        <v>1200</v>
      </c>
      <c r="I20" s="8" t="n">
        <v>630</v>
      </c>
      <c r="J20" s="8">
        <f>IF(OR(G20="",G20=0),"",ROUND(F20/G20,2)&amp;" : 1")</f>
        <v/>
      </c>
      <c r="K20" s="9" t="inlineStr">
        <is>
          <t>JPG</t>
        </is>
      </c>
      <c r="L20" s="9" t="inlineStr">
        <is>
          <t>250 KB each</t>
        </is>
      </c>
      <c r="M20" s="9" t="inlineStr">
        <is>
          <t>Landscape 1.91:1, one per post, no text baked in. Also used as the link preview image when the article is shared.</t>
        </is>
      </c>
      <c r="N20" s="10" t="inlineStr">
        <is>
          <t>(none)</t>
        </is>
      </c>
      <c r="O20" s="11" t="n"/>
      <c r="P20" s="11" t="n"/>
      <c r="Q20" s="8">
        <f>IF(O20="","Missing",IF(AND(O20&gt;=H20,P20&gt;=I20),"OK","Too small"))</f>
        <v/>
      </c>
      <c r="R20" s="11" t="inlineStr">
        <is>
          <t>To do</t>
        </is>
      </c>
      <c r="S20" s="10" t="inlineStr"/>
      <c r="T20" s="12" t="n"/>
      <c r="U20" s="10" t="inlineStr"/>
    </row>
    <row r="21" ht="45" customHeight="1">
      <c r="A21" s="8" t="n">
        <v>20</v>
      </c>
      <c r="B21" s="9" t="inlineStr">
        <is>
          <t>Contact</t>
        </is>
      </c>
      <c r="C21" s="9" t="inlineStr">
        <is>
          <t>Store / office photo</t>
        </is>
      </c>
      <c r="D21" s="9" t="inlineStr">
        <is>
          <t>Optional photo of the office or a map-style picture on the Contact page (needs a small code change).</t>
        </is>
      </c>
      <c r="E21" s="8" t="n">
        <v>1</v>
      </c>
      <c r="F21" s="8" t="n">
        <v>1600</v>
      </c>
      <c r="G21" s="8" t="n">
        <v>900</v>
      </c>
      <c r="H21" s="8" t="n">
        <v>1200</v>
      </c>
      <c r="I21" s="8" t="n">
        <v>675</v>
      </c>
      <c r="J21" s="8">
        <f>IF(OR(G21="",G21=0),"",ROUND(F21/G21,2)&amp;" : 1")</f>
        <v/>
      </c>
      <c r="K21" s="9" t="inlineStr">
        <is>
          <t>JPG</t>
        </is>
      </c>
      <c r="L21" s="9" t="inlineStr">
        <is>
          <t>300 KB</t>
        </is>
      </c>
      <c r="M21" s="9" t="inlineStr">
        <is>
          <t>Landscape 16:9. Helps trust for first-time buyers.</t>
        </is>
      </c>
      <c r="N21" s="10" t="inlineStr">
        <is>
          <t>(none)</t>
        </is>
      </c>
      <c r="O21" s="11" t="n"/>
      <c r="P21" s="11" t="n"/>
      <c r="Q21" s="8">
        <f>IF(O21="","Missing",IF(AND(O21&gt;=H21,P21&gt;=I21),"OK","Too small"))</f>
        <v/>
      </c>
      <c r="R21" s="11" t="inlineStr">
        <is>
          <t>To do</t>
        </is>
      </c>
      <c r="S21" s="10" t="inlineStr"/>
      <c r="T21" s="12" t="n"/>
      <c r="U21" s="10" t="inlineStr"/>
    </row>
    <row r="22" ht="45" customHeight="1">
      <c r="A22" s="8" t="n">
        <v>21</v>
      </c>
      <c r="B22" s="9" t="inlineStr">
        <is>
          <t>Marketing</t>
        </is>
      </c>
      <c r="C22" s="9" t="inlineStr">
        <is>
          <t>Instagram / Facebook post images</t>
        </is>
      </c>
      <c r="D22" s="9" t="inlineStr">
        <is>
          <t>Posts for the three social accounts, to bring visitors to the site.</t>
        </is>
      </c>
      <c r="E22" s="8" t="n">
        <v>12</v>
      </c>
      <c r="F22" s="8" t="n">
        <v>1080</v>
      </c>
      <c r="G22" s="8" t="n">
        <v>1350</v>
      </c>
      <c r="H22" s="8" t="n">
        <v>1080</v>
      </c>
      <c r="I22" s="8" t="n">
        <v>1080</v>
      </c>
      <c r="J22" s="8">
        <f>IF(OR(G22="",G22=0),"",ROUND(F22/G22,2)&amp;" : 1")</f>
        <v/>
      </c>
      <c r="K22" s="9" t="inlineStr">
        <is>
          <t>JPG or PNG</t>
        </is>
      </c>
      <c r="L22" s="9" t="inlineStr">
        <is>
          <t>1 MB each</t>
        </is>
      </c>
      <c r="M22" s="9" t="inlineStr">
        <is>
          <t>Portrait 4:5 is best for the feed. Plan about 12 for the first month. Keep the logo in one consistent corner.</t>
        </is>
      </c>
      <c r="N22" s="10" t="inlineStr">
        <is>
          <t>(none)</t>
        </is>
      </c>
      <c r="O22" s="11" t="n"/>
      <c r="P22" s="11" t="n"/>
      <c r="Q22" s="8">
        <f>IF(O22="","Missing",IF(AND(O22&gt;=H22,P22&gt;=I22),"OK","Too small"))</f>
        <v/>
      </c>
      <c r="R22" s="11" t="inlineStr">
        <is>
          <t>To do</t>
        </is>
      </c>
      <c r="S22" s="10" t="inlineStr"/>
      <c r="T22" s="12" t="n"/>
      <c r="U22" s="10" t="inlineStr"/>
    </row>
    <row r="23" ht="45" customHeight="1">
      <c r="A23" s="8" t="n">
        <v>22</v>
      </c>
      <c r="B23" s="9" t="inlineStr">
        <is>
          <t>Marketing</t>
        </is>
      </c>
      <c r="C23" s="9" t="inlineStr">
        <is>
          <t>TikTok / Reels covers</t>
        </is>
      </c>
      <c r="D23" s="9" t="inlineStr">
        <is>
          <t>Cover frames for videos on TikTok and Instagram Reels.</t>
        </is>
      </c>
      <c r="E23" s="8" t="n">
        <v>6</v>
      </c>
      <c r="F23" s="8" t="n">
        <v>1080</v>
      </c>
      <c r="G23" s="8" t="n">
        <v>1920</v>
      </c>
      <c r="H23" s="8" t="n">
        <v>1080</v>
      </c>
      <c r="I23" s="8" t="n">
        <v>1920</v>
      </c>
      <c r="J23" s="8">
        <f>IF(OR(G23="",G23=0),"",ROUND(F23/G23,2)&amp;" : 1")</f>
        <v/>
      </c>
      <c r="K23" s="9" t="inlineStr">
        <is>
          <t>JPG</t>
        </is>
      </c>
      <c r="L23" s="9" t="inlineStr">
        <is>
          <t>500 KB each</t>
        </is>
      </c>
      <c r="M23" s="9" t="inlineStr">
        <is>
          <t>9:16. Keep text in the middle 60% - the app overlays buttons on the edges.</t>
        </is>
      </c>
      <c r="N23" s="10" t="inlineStr">
        <is>
          <t>(none)</t>
        </is>
      </c>
      <c r="O23" s="11" t="n"/>
      <c r="P23" s="11" t="n"/>
      <c r="Q23" s="8">
        <f>IF(O23="","Missing",IF(AND(O23&gt;=H23,P23&gt;=I23),"OK","Too small"))</f>
        <v/>
      </c>
      <c r="R23" s="11" t="inlineStr">
        <is>
          <t>To do</t>
        </is>
      </c>
      <c r="S23" s="10" t="inlineStr"/>
      <c r="T23" s="12" t="n"/>
      <c r="U23" s="10" t="inlineStr"/>
    </row>
  </sheetData>
  <autoFilter ref="A1:U23"/>
  <conditionalFormatting sqref="Q2:Q23">
    <cfRule type="cellIs" priority="1" operator="equal" dxfId="0">
      <formula>"OK"</formula>
    </cfRule>
    <cfRule type="cellIs" priority="2" operator="equal" dxfId="1">
      <formula>"Too small"</formula>
    </cfRule>
    <cfRule type="cellIs" priority="3" operator="equal" dxfId="2">
      <formula>"Missing"</formula>
    </cfRule>
  </conditionalFormatting>
  <conditionalFormatting sqref="R2:R23">
    <cfRule type="expression" priority="4" dxfId="3">
      <formula>OR(R2="Live on site",R2="Approved")</formula>
    </cfRule>
  </conditionalFormatting>
  <dataValidations count="1">
    <dataValidation sqref="R2:R23" showDropDown="0" showInputMessage="0" showErrorMessage="0" allowBlank="1" type="list">
      <formula1>"To do,In progress,Delivered,Approved,Live on site,Not needed"</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B2:H20"/>
  <sheetViews>
    <sheetView showGridLines="0" workbookViewId="0">
      <selection activeCell="A1" sqref="A1"/>
    </sheetView>
  </sheetViews>
  <sheetFormatPr baseColWidth="8" defaultRowHeight="15"/>
  <cols>
    <col width="3" customWidth="1" min="1" max="1"/>
    <col width="30" customWidth="1" min="2" max="2"/>
    <col width="18" customWidth="1" min="3" max="3"/>
    <col width="18" customWidth="1" min="4" max="4"/>
    <col width="16" customWidth="1" min="5" max="5"/>
    <col width="14" customWidth="1" min="6" max="6"/>
    <col width="28" customWidth="1" min="7" max="7"/>
    <col width="44" customWidth="1" min="8" max="8"/>
  </cols>
  <sheetData>
    <row r="2">
      <c r="B2" s="13" t="inlineStr">
        <is>
          <t>Resolution guide - the size rules in one table</t>
        </is>
      </c>
    </row>
    <row r="4">
      <c r="B4" s="14" t="inlineStr">
        <is>
          <t>Picture type</t>
        </is>
      </c>
      <c r="C4" s="14" t="inlineStr">
        <is>
          <t>Shape</t>
        </is>
      </c>
      <c r="D4" s="14" t="inlineStr">
        <is>
          <t>Recommended (px)</t>
        </is>
      </c>
      <c r="E4" s="14" t="inlineStr">
        <is>
          <t>Minimum (px)</t>
        </is>
      </c>
      <c r="F4" s="14" t="inlineStr">
        <is>
          <t>Format</t>
        </is>
      </c>
      <c r="G4" s="14" t="inlineStr">
        <is>
          <t>Target file size</t>
        </is>
      </c>
      <c r="H4" s="14" t="inlineStr">
        <is>
          <t>Where used</t>
        </is>
      </c>
    </row>
    <row r="5">
      <c r="B5" s="15" t="inlineStr">
        <is>
          <t>Hero banner - desktop / tablet</t>
        </is>
      </c>
      <c r="C5" s="16" t="inlineStr">
        <is>
          <t>2.4 : 1 (wide)</t>
        </is>
      </c>
      <c r="D5" s="16" t="inlineStr">
        <is>
          <t>2400 x 1000</t>
        </is>
      </c>
      <c r="E5" s="16" t="inlineStr">
        <is>
          <t>1600 x 667</t>
        </is>
      </c>
      <c r="F5" s="16" t="inlineStr">
        <is>
          <t>JPG / WebP</t>
        </is>
      </c>
      <c r="G5" s="16" t="inlineStr">
        <is>
          <t>under 400 KB</t>
        </is>
      </c>
      <c r="H5" s="16" t="inlineStr">
        <is>
          <t>Home page rotating banner</t>
        </is>
      </c>
    </row>
    <row r="6">
      <c r="B6" s="15" t="inlineStr">
        <is>
          <t>Hero banner - phone</t>
        </is>
      </c>
      <c r="C6" s="16" t="inlineStr">
        <is>
          <t>3 : 4 (tall)</t>
        </is>
      </c>
      <c r="D6" s="16" t="inlineStr">
        <is>
          <t>1080 x 1440</t>
        </is>
      </c>
      <c r="E6" s="16" t="inlineStr">
        <is>
          <t>720 x 960</t>
        </is>
      </c>
      <c r="F6" s="16" t="inlineStr">
        <is>
          <t>JPG / WebP</t>
        </is>
      </c>
      <c r="G6" s="16" t="inlineStr">
        <is>
          <t>under 300 KB</t>
        </is>
      </c>
      <c r="H6" s="16" t="inlineStr">
        <is>
          <t>Home page banner on phones</t>
        </is>
      </c>
    </row>
    <row r="7">
      <c r="B7" s="15" t="inlineStr">
        <is>
          <t>Product photo</t>
        </is>
      </c>
      <c r="C7" s="16" t="inlineStr">
        <is>
          <t>1 : 1 (square)</t>
        </is>
      </c>
      <c r="D7" s="16" t="inlineStr">
        <is>
          <t>2000 x 2000</t>
        </is>
      </c>
      <c r="E7" s="16" t="inlineStr">
        <is>
          <t>1000 x 1000</t>
        </is>
      </c>
      <c r="F7" s="16" t="inlineStr">
        <is>
          <t>JPG / PNG</t>
        </is>
      </c>
      <c r="G7" s="16" t="inlineStr">
        <is>
          <t>under 500 KB</t>
        </is>
      </c>
      <c r="H7" s="16" t="inlineStr">
        <is>
          <t>Product page gallery, product cards, cart</t>
        </is>
      </c>
    </row>
    <row r="8">
      <c r="B8" s="15" t="inlineStr">
        <is>
          <t>Category circle</t>
        </is>
      </c>
      <c r="C8" s="16" t="inlineStr">
        <is>
          <t>1 : 1 (square)</t>
        </is>
      </c>
      <c r="D8" s="16" t="inlineStr">
        <is>
          <t>800 x 800</t>
        </is>
      </c>
      <c r="E8" s="16" t="inlineStr">
        <is>
          <t>400 x 400</t>
        </is>
      </c>
      <c r="F8" s="16" t="inlineStr">
        <is>
          <t>JPG / PNG</t>
        </is>
      </c>
      <c r="G8" s="16" t="inlineStr">
        <is>
          <t>under 150 KB</t>
        </is>
      </c>
      <c r="H8" s="16" t="inlineStr">
        <is>
          <t>Home page circles</t>
        </is>
      </c>
    </row>
    <row r="9">
      <c r="B9" s="15" t="inlineStr">
        <is>
          <t>Full-screen story / reel cover</t>
        </is>
      </c>
      <c r="C9" s="16" t="inlineStr">
        <is>
          <t>9 : 16 (tall)</t>
        </is>
      </c>
      <c r="D9" s="16" t="inlineStr">
        <is>
          <t>1080 x 1920</t>
        </is>
      </c>
      <c r="E9" s="16" t="inlineStr">
        <is>
          <t>720 x 1280</t>
        </is>
      </c>
      <c r="F9" s="16" t="inlineStr">
        <is>
          <t>JPG / MP4</t>
        </is>
      </c>
      <c r="G9" s="16" t="inlineStr">
        <is>
          <t>photo under 500 KB, video under 40 MB</t>
        </is>
      </c>
      <c r="H9" s="16" t="inlineStr">
        <is>
          <t>Story viewer, TikTok and Reels</t>
        </is>
      </c>
    </row>
    <row r="10">
      <c r="B10" s="15" t="inlineStr">
        <is>
          <t>Landscape video</t>
        </is>
      </c>
      <c r="C10" s="16" t="inlineStr">
        <is>
          <t>16 : 9</t>
        </is>
      </c>
      <c r="D10" s="16" t="inlineStr">
        <is>
          <t>1920 x 1080</t>
        </is>
      </c>
      <c r="E10" s="16" t="inlineStr">
        <is>
          <t>1280 x 720</t>
        </is>
      </c>
      <c r="F10" s="16" t="inlineStr">
        <is>
          <t>MP4 (H.264)</t>
        </is>
      </c>
      <c r="G10" s="16" t="inlineStr">
        <is>
          <t>under 40 MB</t>
        </is>
      </c>
      <c r="H10" s="16" t="inlineStr">
        <is>
          <t>Product page video player</t>
        </is>
      </c>
    </row>
    <row r="11">
      <c r="B11" s="15" t="inlineStr">
        <is>
          <t>Share / blog cover image</t>
        </is>
      </c>
      <c r="C11" s="16" t="inlineStr">
        <is>
          <t>1.91 : 1</t>
        </is>
      </c>
      <c r="D11" s="16" t="inlineStr">
        <is>
          <t>1200 x 630</t>
        </is>
      </c>
      <c r="E11" s="16" t="inlineStr">
        <is>
          <t>1200 x 630</t>
        </is>
      </c>
      <c r="F11" s="16" t="inlineStr">
        <is>
          <t>JPG</t>
        </is>
      </c>
      <c r="G11" s="16" t="inlineStr">
        <is>
          <t>under 250 KB</t>
        </is>
      </c>
      <c r="H11" s="16" t="inlineStr">
        <is>
          <t>Link previews on WhatsApp, Facebook; blog covers</t>
        </is>
      </c>
    </row>
    <row r="12">
      <c r="B12" s="15" t="inlineStr">
        <is>
          <t>Logo</t>
        </is>
      </c>
      <c r="C12" s="16" t="inlineStr">
        <is>
          <t>wide, transparent</t>
        </is>
      </c>
      <c r="D12" s="16" t="inlineStr">
        <is>
          <t>1200 x 320</t>
        </is>
      </c>
      <c r="E12" s="16" t="inlineStr">
        <is>
          <t>464 x 128</t>
        </is>
      </c>
      <c r="F12" s="16" t="inlineStr">
        <is>
          <t>PNG / SVG</t>
        </is>
      </c>
      <c r="G12" s="16" t="inlineStr">
        <is>
          <t>under 300 KB</t>
        </is>
      </c>
      <c r="H12" s="16" t="inlineStr">
        <is>
          <t>Header on every page</t>
        </is>
      </c>
    </row>
    <row r="13">
      <c r="B13" s="15" t="inlineStr">
        <is>
          <t>Favicon / square logo</t>
        </is>
      </c>
      <c r="C13" s="16" t="inlineStr">
        <is>
          <t>1 : 1</t>
        </is>
      </c>
      <c r="D13" s="16" t="inlineStr">
        <is>
          <t>512 x 512</t>
        </is>
      </c>
      <c r="E13" s="16" t="inlineStr">
        <is>
          <t>256 x 256</t>
        </is>
      </c>
      <c r="F13" s="16" t="inlineStr">
        <is>
          <t>PNG</t>
        </is>
      </c>
      <c r="G13" s="16" t="inlineStr">
        <is>
          <t>under 100 KB</t>
        </is>
      </c>
      <c r="H13" s="16" t="inlineStr">
        <is>
          <t>Browser tab, Google, social profiles</t>
        </is>
      </c>
    </row>
    <row r="14">
      <c r="B14" s="15" t="inlineStr">
        <is>
          <t>Social feed post</t>
        </is>
      </c>
      <c r="C14" s="16" t="inlineStr">
        <is>
          <t>4 : 5 (portrait)</t>
        </is>
      </c>
      <c r="D14" s="16" t="inlineStr">
        <is>
          <t>1080 x 1350</t>
        </is>
      </c>
      <c r="E14" s="16" t="inlineStr">
        <is>
          <t>1080 x 1080</t>
        </is>
      </c>
      <c r="F14" s="16" t="inlineStr">
        <is>
          <t>JPG / PNG</t>
        </is>
      </c>
      <c r="G14" s="16" t="inlineStr">
        <is>
          <t>under 1 MB</t>
        </is>
      </c>
      <c r="H14" s="16" t="inlineStr">
        <is>
          <t>Instagram / Facebook feed</t>
        </is>
      </c>
    </row>
    <row r="16">
      <c r="B16" s="5" t="inlineStr">
        <is>
          <t>Tips</t>
        </is>
      </c>
    </row>
    <row r="17" ht="30" customHeight="1">
      <c r="B17" s="4" t="inlineStr">
        <is>
          <t>Why "2x": phones and laptops with sharp screens show 2 pixels for every 1 on-screen pixel, so an image shown at 1200 px wide should be 2400 px wide to stay crisp.</t>
        </is>
      </c>
    </row>
    <row r="18" ht="30" customHeight="1">
      <c r="B18" s="4" t="inlineStr">
        <is>
          <t>Compress before uploading (squoosh.app or tinypng.com are free). Large images slow the site down, and speed affects Google ranking.</t>
        </is>
      </c>
    </row>
    <row r="19" ht="30" customHeight="1">
      <c r="B19" s="4" t="inlineStr">
        <is>
          <t>Name files with plain words: hero-mighty-patch-front.jpg, not IMG_4023.jpg. It helps Google Images.</t>
        </is>
      </c>
    </row>
    <row r="20" ht="30" customHeight="1">
      <c r="B20" s="4" t="inlineStr">
        <is>
          <t>Every picture should also have a short description (alt text) when you add it in the admin, such as "Hero Mighty Patch Invisible+ pack on a white background".</t>
        </is>
      </c>
    </row>
  </sheetData>
  <mergeCells count="4">
    <mergeCell ref="B19:H19"/>
    <mergeCell ref="B20:H20"/>
    <mergeCell ref="B17:H17"/>
    <mergeCell ref="B18:H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31"/>
  <sheetViews>
    <sheetView showGridLines="0" workbookViewId="0">
      <selection activeCell="A1" sqref="A1"/>
    </sheetView>
  </sheetViews>
  <sheetFormatPr baseColWidth="8" defaultRowHeight="15"/>
  <cols>
    <col width="3" customWidth="1" min="1" max="1"/>
    <col width="30" customWidth="1" min="2" max="2"/>
    <col width="16" customWidth="1" min="3" max="3"/>
    <col width="16" customWidth="1" min="4" max="4"/>
    <col width="16" customWidth="1" min="5" max="5"/>
    <col width="16" customWidth="1" min="6" max="6"/>
  </cols>
  <sheetData>
    <row r="2">
      <c r="B2" s="13" t="inlineStr">
        <is>
          <t>Summary</t>
        </is>
      </c>
    </row>
    <row r="4">
      <c r="B4" s="17" t="inlineStr">
        <is>
          <t>Slots by status</t>
        </is>
      </c>
      <c r="C4" s="18" t="inlineStr">
        <is>
          <t>Slots</t>
        </is>
      </c>
      <c r="D4" s="18" t="inlineStr">
        <is>
          <t>Pictures</t>
        </is>
      </c>
    </row>
    <row r="5">
      <c r="B5" s="19" t="inlineStr">
        <is>
          <t>To do</t>
        </is>
      </c>
      <c r="C5" s="19">
        <f>COUNTIF('Content plan'!$R$2:$R$23,B5)</f>
        <v/>
      </c>
      <c r="D5" s="19">
        <f>SUMIFS('Content plan'!$E$2:$E$23,'Content plan'!$R$2:$R$23,B5)</f>
        <v/>
      </c>
    </row>
    <row r="6">
      <c r="B6" s="19" t="inlineStr">
        <is>
          <t>In progress</t>
        </is>
      </c>
      <c r="C6" s="19">
        <f>COUNTIF('Content plan'!$R$2:$R$23,B6)</f>
        <v/>
      </c>
      <c r="D6" s="19">
        <f>SUMIFS('Content plan'!$E$2:$E$23,'Content plan'!$R$2:$R$23,B6)</f>
        <v/>
      </c>
    </row>
    <row r="7">
      <c r="B7" s="19" t="inlineStr">
        <is>
          <t>Delivered</t>
        </is>
      </c>
      <c r="C7" s="19">
        <f>COUNTIF('Content plan'!$R$2:$R$23,B7)</f>
        <v/>
      </c>
      <c r="D7" s="19">
        <f>SUMIFS('Content plan'!$E$2:$E$23,'Content plan'!$R$2:$R$23,B7)</f>
        <v/>
      </c>
    </row>
    <row r="8">
      <c r="B8" s="19" t="inlineStr">
        <is>
          <t>Approved</t>
        </is>
      </c>
      <c r="C8" s="19">
        <f>COUNTIF('Content plan'!$R$2:$R$23,B8)</f>
        <v/>
      </c>
      <c r="D8" s="19">
        <f>SUMIFS('Content plan'!$E$2:$E$23,'Content plan'!$R$2:$R$23,B8)</f>
        <v/>
      </c>
    </row>
    <row r="9">
      <c r="B9" s="19" t="inlineStr">
        <is>
          <t>Live on site</t>
        </is>
      </c>
      <c r="C9" s="19">
        <f>COUNTIF('Content plan'!$R$2:$R$23,B9)</f>
        <v/>
      </c>
      <c r="D9" s="19">
        <f>SUMIFS('Content plan'!$E$2:$E$23,'Content plan'!$R$2:$R$23,B9)</f>
        <v/>
      </c>
    </row>
    <row r="10">
      <c r="B10" s="19" t="inlineStr">
        <is>
          <t>Not needed</t>
        </is>
      </c>
      <c r="C10" s="19">
        <f>COUNTIF('Content plan'!$R$2:$R$23,B10)</f>
        <v/>
      </c>
      <c r="D10" s="19">
        <f>SUMIFS('Content plan'!$E$2:$E$23,'Content plan'!$R$2:$R$23,B10)</f>
        <v/>
      </c>
    </row>
    <row r="11">
      <c r="B11" s="17" t="inlineStr">
        <is>
          <t>Total</t>
        </is>
      </c>
      <c r="C11" s="17">
        <f>SUM(C5:C10)</f>
        <v/>
      </c>
      <c r="D11" s="17">
        <f>SUM(D5:D10)</f>
        <v/>
      </c>
    </row>
    <row r="13">
      <c r="B13" s="17" t="inlineStr">
        <is>
          <t>Current files against the minimum size</t>
        </is>
      </c>
    </row>
    <row r="14">
      <c r="B14" s="19" t="inlineStr">
        <is>
          <t>OK</t>
        </is>
      </c>
      <c r="C14" s="19">
        <f>COUNTIF('Content plan'!$Q$2:$Q$23,B14)</f>
        <v/>
      </c>
    </row>
    <row r="15">
      <c r="B15" s="19" t="inlineStr">
        <is>
          <t>Too small</t>
        </is>
      </c>
      <c r="C15" s="19">
        <f>COUNTIF('Content plan'!$Q$2:$Q$23,B15)</f>
        <v/>
      </c>
    </row>
    <row r="16">
      <c r="B16" s="19" t="inlineStr">
        <is>
          <t>Missing</t>
        </is>
      </c>
      <c r="C16" s="19">
        <f>COUNTIF('Content plan'!$Q$2:$Q$23,B16)</f>
        <v/>
      </c>
    </row>
    <row r="18">
      <c r="B18" s="17" t="inlineStr">
        <is>
          <t>Pictures needed by screen</t>
        </is>
      </c>
      <c r="C18" s="17" t="inlineStr">
        <is>
          <t>Pictures</t>
        </is>
      </c>
    </row>
    <row r="19">
      <c r="B19" s="19" t="inlineStr">
        <is>
          <t>All pages</t>
        </is>
      </c>
      <c r="C19" s="19">
        <f>SUMIFS('Content plan'!$E$2:$E$23,'Content plan'!$B$2:$B$23,B19)</f>
        <v/>
      </c>
    </row>
    <row r="20">
      <c r="B20" s="19" t="inlineStr">
        <is>
          <t>All pages / Google</t>
        </is>
      </c>
      <c r="C20" s="19">
        <f>SUMIFS('Content plan'!$E$2:$E$23,'Content plan'!$B$2:$B$23,B20)</f>
        <v/>
      </c>
    </row>
    <row r="21">
      <c r="B21" s="19" t="inlineStr">
        <is>
          <t>All pages / Social</t>
        </is>
      </c>
      <c r="C21" s="19">
        <f>SUMIFS('Content plan'!$E$2:$E$23,'Content plan'!$B$2:$B$23,B21)</f>
        <v/>
      </c>
    </row>
    <row r="22">
      <c r="B22" s="19" t="inlineStr">
        <is>
          <t>Home</t>
        </is>
      </c>
      <c r="C22" s="19">
        <f>SUMIFS('Content plan'!$E$2:$E$23,'Content plan'!$B$2:$B$23,B22)</f>
        <v/>
      </c>
    </row>
    <row r="23">
      <c r="B23" s="19" t="inlineStr">
        <is>
          <t>Home / Shop</t>
        </is>
      </c>
      <c r="C23" s="19">
        <f>SUMIFS('Content plan'!$E$2:$E$23,'Content plan'!$B$2:$B$23,B23)</f>
        <v/>
      </c>
    </row>
    <row r="24">
      <c r="B24" s="19" t="inlineStr">
        <is>
          <t>Product pages</t>
        </is>
      </c>
      <c r="C24" s="19">
        <f>SUMIFS('Content plan'!$E$2:$E$23,'Content plan'!$B$2:$B$23,B24)</f>
        <v/>
      </c>
    </row>
    <row r="25">
      <c r="B25" s="19" t="inlineStr">
        <is>
          <t>Cart / Checkout</t>
        </is>
      </c>
      <c r="C25" s="19">
        <f>SUMIFS('Content plan'!$E$2:$E$23,'Content plan'!$B$2:$B$23,B25)</f>
        <v/>
      </c>
    </row>
    <row r="26">
      <c r="B26" s="19" t="inlineStr">
        <is>
          <t>About</t>
        </is>
      </c>
      <c r="C26" s="19">
        <f>SUMIFS('Content plan'!$E$2:$E$23,'Content plan'!$B$2:$B$23,B26)</f>
        <v/>
      </c>
    </row>
    <row r="27">
      <c r="B27" s="19" t="inlineStr">
        <is>
          <t>Blog</t>
        </is>
      </c>
      <c r="C27" s="19">
        <f>SUMIFS('Content plan'!$E$2:$E$23,'Content plan'!$B$2:$B$23,B27)</f>
        <v/>
      </c>
    </row>
    <row r="28">
      <c r="B28" s="19" t="inlineStr">
        <is>
          <t>Contact</t>
        </is>
      </c>
      <c r="C28" s="19">
        <f>SUMIFS('Content plan'!$E$2:$E$23,'Content plan'!$B$2:$B$23,B28)</f>
        <v/>
      </c>
    </row>
    <row r="29">
      <c r="B29" s="19" t="inlineStr">
        <is>
          <t>Marketing</t>
        </is>
      </c>
      <c r="C29" s="19">
        <f>SUMIFS('Content plan'!$E$2:$E$23,'Content plan'!$B$2:$B$23,B29)</f>
        <v/>
      </c>
    </row>
    <row r="30">
      <c r="B30" s="17" t="inlineStr">
        <is>
          <t>Total pictures</t>
        </is>
      </c>
      <c r="C30" s="17">
        <f>SUM(C19:C29)</f>
        <v/>
      </c>
    </row>
    <row r="31">
      <c r="B31" s="2" t="inlineStr">
        <is>
          <t>Check: equals Total pictures above</t>
        </is>
      </c>
      <c r="C31" s="2">
        <f>IF(C30=D11,"OK","Mismatch")</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2026-10-22T10:51:54Z</dcterms:created>
  <dcterms:modified xmlns:dcterms="http://purl.org/dc/terms/" xmlns:xsi="http://www.w3.org/2001/XMLSchema-instance" xsi:type="dcterms:W3CDTF">2026-10-22T10:51:54Z</dcterms:modified>
</cp:coreProperties>
</file>